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G9" i="1" s="1"/>
  <c r="H10" i="1"/>
  <c r="G11" i="1" s="1"/>
  <c r="H12" i="1"/>
  <c r="G13" i="1" s="1"/>
  <c r="H2" i="1"/>
  <c r="G3" i="1" s="1"/>
  <c r="H4" i="1"/>
  <c r="G5" i="1" s="1"/>
  <c r="H6" i="1"/>
  <c r="G7" i="1" s="1"/>
  <c r="B11" i="1" l="1"/>
  <c r="D11" i="1"/>
  <c r="F11" i="1"/>
  <c r="C11" i="1"/>
  <c r="E11" i="1"/>
  <c r="B13" i="1"/>
  <c r="D13" i="1"/>
  <c r="F13" i="1"/>
  <c r="C13" i="1"/>
  <c r="E13" i="1"/>
  <c r="D9" i="1"/>
  <c r="B9" i="1"/>
  <c r="F9" i="1"/>
  <c r="C9" i="1"/>
  <c r="E9" i="1"/>
  <c r="B5" i="1"/>
  <c r="F5" i="1"/>
  <c r="D5" i="1"/>
  <c r="B7" i="1"/>
  <c r="D7" i="1"/>
  <c r="F7" i="1"/>
  <c r="C7" i="1"/>
  <c r="E7" i="1"/>
  <c r="C5" i="1"/>
  <c r="E5" i="1"/>
  <c r="B3" i="1"/>
  <c r="D3" i="1"/>
  <c r="F3" i="1"/>
  <c r="C3" i="1"/>
  <c r="E3" i="1"/>
</calcChain>
</file>

<file path=xl/sharedStrings.xml><?xml version="1.0" encoding="utf-8"?>
<sst xmlns="http://schemas.openxmlformats.org/spreadsheetml/2006/main" count="20" uniqueCount="16">
  <si>
    <t>English/Béarla</t>
  </si>
  <si>
    <t>Distinction</t>
  </si>
  <si>
    <t>Higher Merit</t>
  </si>
  <si>
    <t>Merit</t>
  </si>
  <si>
    <t>Achieved</t>
  </si>
  <si>
    <t>Partially Achieved</t>
  </si>
  <si>
    <t>Not Graded</t>
  </si>
  <si>
    <t>TOTALS</t>
  </si>
  <si>
    <t>Total Figures for Higher Level</t>
  </si>
  <si>
    <t>% Higher Level</t>
  </si>
  <si>
    <t>Total Male</t>
  </si>
  <si>
    <t>% Male</t>
  </si>
  <si>
    <t>Total Female</t>
  </si>
  <si>
    <t>% Female</t>
  </si>
  <si>
    <t>Total Figures for Ordinary Level</t>
  </si>
  <si>
    <t>% Ordinary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</si>
</sst>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/>
    </xf>
    <xf numFmtId="3" fontId="1" fillId="0" borderId="3" xfId="0" applyNumberFormat="1" applyFont="1" applyFill="1" applyBorder="1" applyAlignment="1">
      <alignment horizontal="left"/>
    </xf>
    <xf numFmtId="0" fontId="1" fillId="0" borderId="0" xfId="0" applyFont="1" applyFill="1"/>
    <xf numFmtId="3" fontId="1" fillId="0" borderId="4" xfId="0" applyNumberFormat="1" applyFont="1" applyFill="1" applyBorder="1" applyAlignment="1">
      <alignment wrapText="1"/>
    </xf>
    <xf numFmtId="3" fontId="1" fillId="0" borderId="5" xfId="0" applyNumberFormat="1" applyFont="1" applyFill="1" applyBorder="1" applyAlignment="1">
      <alignment horizontal="left"/>
    </xf>
    <xf numFmtId="3" fontId="1" fillId="0" borderId="6" xfId="0" applyNumberFormat="1" applyFont="1" applyFill="1" applyBorder="1" applyAlignment="1">
      <alignment horizontal="left"/>
    </xf>
    <xf numFmtId="3" fontId="1" fillId="0" borderId="0" xfId="0" applyNumberFormat="1" applyFont="1" applyFill="1"/>
    <xf numFmtId="0" fontId="1" fillId="0" borderId="4" xfId="0" applyFont="1" applyFill="1" applyBorder="1" applyAlignment="1">
      <alignment wrapText="1"/>
    </xf>
    <xf numFmtId="164" fontId="2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" fillId="0" borderId="7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wrapText="1"/>
    </xf>
    <xf numFmtId="164" fontId="2" fillId="0" borderId="9" xfId="0" applyNumberFormat="1" applyFont="1" applyFill="1" applyBorder="1" applyAlignment="1">
      <alignment horizontal="left"/>
    </xf>
    <xf numFmtId="3" fontId="2" fillId="0" borderId="10" xfId="0" applyNumberFormat="1" applyFont="1" applyFill="1" applyBorder="1" applyAlignment="1">
      <alignment horizontal="left"/>
    </xf>
    <xf numFmtId="0" fontId="1" fillId="0" borderId="0" xfId="0" applyFont="1" applyFill="1" applyAlignment="1">
      <alignment wrapText="1"/>
    </xf>
    <xf numFmtId="9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3" fontId="1" fillId="0" borderId="0" xfId="0" applyNumberFormat="1" applyFont="1" applyFill="1" applyAlignment="1">
      <alignment horizontal="left"/>
    </xf>
    <xf numFmtId="3" fontId="1" fillId="0" borderId="11" xfId="0" applyNumberFormat="1" applyFont="1" applyFill="1" applyBorder="1" applyAlignment="1">
      <alignment horizontal="left"/>
    </xf>
    <xf numFmtId="164" fontId="2" fillId="0" borderId="12" xfId="0" applyNumberFormat="1" applyFont="1" applyFill="1" applyBorder="1" applyAlignment="1">
      <alignment horizontal="left"/>
    </xf>
    <xf numFmtId="3" fontId="1" fillId="0" borderId="12" xfId="0" applyNumberFormat="1" applyFont="1" applyFill="1" applyBorder="1" applyAlignment="1">
      <alignment horizontal="left"/>
    </xf>
    <xf numFmtId="164" fontId="2" fillId="0" borderId="1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H10" sqref="H10"/>
    </sheetView>
  </sheetViews>
  <sheetFormatPr defaultRowHeight="15" x14ac:dyDescent="0.25"/>
  <cols>
    <col min="1" max="1" width="20.42578125" style="16" customWidth="1"/>
    <col min="2" max="5" width="14.28515625" style="19" customWidth="1"/>
    <col min="6" max="6" width="18.42578125" style="19" customWidth="1"/>
    <col min="7" max="7" width="14.28515625" style="19" customWidth="1"/>
    <col min="8" max="8" width="14.28515625" style="20" customWidth="1"/>
    <col min="9" max="16384" width="9.140625" style="4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9" s="8" customFormat="1" ht="30" x14ac:dyDescent="0.25">
      <c r="A2" s="5" t="s">
        <v>8</v>
      </c>
      <c r="B2" s="21">
        <v>1245</v>
      </c>
      <c r="C2" s="6">
        <v>9778</v>
      </c>
      <c r="D2" s="6">
        <v>25941</v>
      </c>
      <c r="E2" s="6">
        <v>10012</v>
      </c>
      <c r="F2" s="6">
        <v>1838</v>
      </c>
      <c r="G2" s="6">
        <v>88</v>
      </c>
      <c r="H2" s="7">
        <f t="shared" ref="H2:H4" si="0">SUM(B2:G2)</f>
        <v>48902</v>
      </c>
    </row>
    <row r="3" spans="1:9" x14ac:dyDescent="0.25">
      <c r="A3" s="9" t="s">
        <v>9</v>
      </c>
      <c r="B3" s="22">
        <f>SUM(B2)/H2</f>
        <v>2.5459081428162448E-2</v>
      </c>
      <c r="C3" s="10">
        <f>SUM(C2)/H2</f>
        <v>0.19995092225266861</v>
      </c>
      <c r="D3" s="10">
        <f>SUM(D2)/H2</f>
        <v>0.53046910146824255</v>
      </c>
      <c r="E3" s="10">
        <f>SUM(E2)/H2</f>
        <v>0.20473600261747985</v>
      </c>
      <c r="F3" s="10">
        <f>SUM(F2)/H2</f>
        <v>3.7585374831295246E-2</v>
      </c>
      <c r="G3" s="10">
        <f>SUM(G2)/H2</f>
        <v>1.7995174021512412E-3</v>
      </c>
      <c r="H3" s="12"/>
    </row>
    <row r="4" spans="1:9" s="8" customFormat="1" x14ac:dyDescent="0.25">
      <c r="A4" s="5" t="s">
        <v>10</v>
      </c>
      <c r="B4" s="23">
        <v>388</v>
      </c>
      <c r="C4" s="11">
        <v>3454</v>
      </c>
      <c r="D4" s="11">
        <v>12054</v>
      </c>
      <c r="E4" s="11">
        <v>5965</v>
      </c>
      <c r="F4" s="11">
        <v>1260</v>
      </c>
      <c r="G4" s="11">
        <v>64</v>
      </c>
      <c r="H4" s="12">
        <f t="shared" si="0"/>
        <v>23185</v>
      </c>
    </row>
    <row r="5" spans="1:9" x14ac:dyDescent="0.25">
      <c r="A5" s="9" t="s">
        <v>11</v>
      </c>
      <c r="B5" s="22">
        <f>SUM(B4)/H4</f>
        <v>1.6734957946948459E-2</v>
      </c>
      <c r="C5" s="10">
        <f>SUM(C4)/H4</f>
        <v>0.14897563079577314</v>
      </c>
      <c r="D5" s="10">
        <f>SUM(D4)/H4</f>
        <v>0.51990511106318738</v>
      </c>
      <c r="E5" s="10">
        <f>SUM(E4)/H4</f>
        <v>0.25727841276687513</v>
      </c>
      <c r="F5" s="10">
        <f>SUM(F4)/H4</f>
        <v>5.4345481992667671E-2</v>
      </c>
      <c r="G5" s="10">
        <f>SUM(G4)/H4</f>
        <v>2.7604054345481991E-3</v>
      </c>
      <c r="H5" s="12"/>
    </row>
    <row r="6" spans="1:9" s="8" customFormat="1" x14ac:dyDescent="0.25">
      <c r="A6" s="5" t="s">
        <v>12</v>
      </c>
      <c r="B6" s="23">
        <v>857</v>
      </c>
      <c r="C6" s="11">
        <v>6324</v>
      </c>
      <c r="D6" s="11">
        <v>13887</v>
      </c>
      <c r="E6" s="11">
        <v>4047</v>
      </c>
      <c r="F6" s="11">
        <v>578</v>
      </c>
      <c r="G6" s="11">
        <v>24</v>
      </c>
      <c r="H6" s="12">
        <f>SUM(B6:G6)</f>
        <v>25717</v>
      </c>
    </row>
    <row r="7" spans="1:9" ht="15.75" thickBot="1" x14ac:dyDescent="0.3">
      <c r="A7" s="13" t="s">
        <v>13</v>
      </c>
      <c r="B7" s="24">
        <f>SUM(B6)/H6</f>
        <v>3.3324260216977097E-2</v>
      </c>
      <c r="C7" s="14">
        <f>SUM(C6)/H6</f>
        <v>0.24590737644359761</v>
      </c>
      <c r="D7" s="14">
        <f>SUM(D6)/H6</f>
        <v>0.53999300073881096</v>
      </c>
      <c r="E7" s="14">
        <f>SUM(E6)/H6</f>
        <v>0.15736672240152427</v>
      </c>
      <c r="F7" s="14">
        <f>SUM(F6)/H6</f>
        <v>2.24754053738772E-2</v>
      </c>
      <c r="G7" s="14">
        <f>SUM(G6)/H6</f>
        <v>9.3323482521289424E-4</v>
      </c>
      <c r="H7" s="15"/>
    </row>
    <row r="8" spans="1:9" ht="30" x14ac:dyDescent="0.25">
      <c r="A8" s="5" t="s">
        <v>14</v>
      </c>
      <c r="B8" s="21">
        <v>368</v>
      </c>
      <c r="C8" s="6">
        <v>3441</v>
      </c>
      <c r="D8" s="6">
        <v>6140</v>
      </c>
      <c r="E8" s="6">
        <v>2267</v>
      </c>
      <c r="F8" s="6">
        <v>695</v>
      </c>
      <c r="G8" s="6">
        <v>90</v>
      </c>
      <c r="H8" s="7">
        <f t="shared" ref="H8:H10" si="1">SUM(B8:G8)</f>
        <v>13001</v>
      </c>
      <c r="I8" s="8"/>
    </row>
    <row r="9" spans="1:9" x14ac:dyDescent="0.25">
      <c r="A9" s="9" t="s">
        <v>15</v>
      </c>
      <c r="B9" s="22">
        <f>SUM(B8)/H8</f>
        <v>2.8305514960387662E-2</v>
      </c>
      <c r="C9" s="10">
        <f>SUM(C8)/H8</f>
        <v>0.26467194831166835</v>
      </c>
      <c r="D9" s="10">
        <f>SUM(D8)/H8</f>
        <v>0.47227136374125067</v>
      </c>
      <c r="E9" s="10">
        <f>SUM(E8)/H8</f>
        <v>0.17437120221521421</v>
      </c>
      <c r="F9" s="10">
        <f>SUM(F8)/H8</f>
        <v>5.345742635181909E-2</v>
      </c>
      <c r="G9" s="10">
        <f>SUM(G8)/H8</f>
        <v>6.9225444196600264E-3</v>
      </c>
      <c r="H9" s="12"/>
    </row>
    <row r="10" spans="1:9" x14ac:dyDescent="0.25">
      <c r="A10" s="5" t="s">
        <v>10</v>
      </c>
      <c r="B10" s="23">
        <v>126</v>
      </c>
      <c r="C10" s="11">
        <v>1729</v>
      </c>
      <c r="D10" s="11">
        <v>4071</v>
      </c>
      <c r="E10" s="11">
        <v>1725</v>
      </c>
      <c r="F10" s="11">
        <v>535</v>
      </c>
      <c r="G10" s="11">
        <v>68</v>
      </c>
      <c r="H10" s="12">
        <f t="shared" si="1"/>
        <v>8254</v>
      </c>
      <c r="I10" s="8"/>
    </row>
    <row r="11" spans="1:9" x14ac:dyDescent="0.25">
      <c r="A11" s="9" t="s">
        <v>11</v>
      </c>
      <c r="B11" s="22">
        <f>SUM(B10)/H10</f>
        <v>1.5265325902592683E-2</v>
      </c>
      <c r="C11" s="10">
        <f>SUM(C10)/H10</f>
        <v>0.20947419433002182</v>
      </c>
      <c r="D11" s="10">
        <f>SUM(D10)/H10</f>
        <v>0.49321541070995883</v>
      </c>
      <c r="E11" s="10">
        <f>SUM(E10)/H10</f>
        <v>0.20898958080930458</v>
      </c>
      <c r="F11" s="10">
        <f>SUM(F10)/H10</f>
        <v>6.4817058395929245E-2</v>
      </c>
      <c r="G11" s="10">
        <f>SUM(G10)/H10</f>
        <v>8.2384298521928755E-3</v>
      </c>
      <c r="H11" s="12"/>
    </row>
    <row r="12" spans="1:9" x14ac:dyDescent="0.25">
      <c r="A12" s="5" t="s">
        <v>12</v>
      </c>
      <c r="B12" s="23">
        <v>242</v>
      </c>
      <c r="C12" s="11">
        <v>1712</v>
      </c>
      <c r="D12" s="11">
        <v>2069</v>
      </c>
      <c r="E12" s="11">
        <v>542</v>
      </c>
      <c r="F12" s="11">
        <v>160</v>
      </c>
      <c r="G12" s="11">
        <v>22</v>
      </c>
      <c r="H12" s="12">
        <f>SUM(B12:G12)</f>
        <v>4747</v>
      </c>
      <c r="I12" s="8"/>
    </row>
    <row r="13" spans="1:9" ht="15.75" thickBot="1" x14ac:dyDescent="0.3">
      <c r="A13" s="13" t="s">
        <v>13</v>
      </c>
      <c r="B13" s="24">
        <f>SUM(B12)/H12</f>
        <v>5.0979566041710556E-2</v>
      </c>
      <c r="C13" s="14">
        <f>SUM(C12)/H12</f>
        <v>0.36064883084053084</v>
      </c>
      <c r="D13" s="14">
        <f>SUM(D12)/H12</f>
        <v>0.43585422372024435</v>
      </c>
      <c r="E13" s="14">
        <f>SUM(E12)/H12</f>
        <v>0.11417737518432694</v>
      </c>
      <c r="F13" s="14">
        <f>SUM(F12)/H12</f>
        <v>3.3705498209395404E-2</v>
      </c>
      <c r="G13" s="14">
        <f>SUM(G12)/H12</f>
        <v>4.6345060037918688E-3</v>
      </c>
      <c r="H13" s="15"/>
    </row>
    <row r="14" spans="1:9" x14ac:dyDescent="0.25">
      <c r="B14" s="17"/>
      <c r="C14" s="17"/>
      <c r="D14" s="17"/>
      <c r="E14" s="17"/>
      <c r="F14" s="17"/>
      <c r="G14" s="17"/>
      <c r="H14" s="18"/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2017-09-12T10:34:50Z</dcterms:created>
  <dcterms:modified xsi:type="dcterms:W3CDTF">2019-09-27T15:12:14Z</dcterms:modified>
</cp:coreProperties>
</file>